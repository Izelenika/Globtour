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Slobodne vožnje\Predračuni 2026\"/>
    </mc:Choice>
  </mc:AlternateContent>
  <xr:revisionPtr revIDLastSave="0" documentId="13_ncr:1_{99CC681F-D96D-4E8D-8B58-2A1EB2CA9E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1" l="1"/>
  <c r="I21" i="1"/>
  <c r="H21" i="1"/>
  <c r="J21" i="1" s="1"/>
  <c r="F21" i="1"/>
  <c r="H20" i="1"/>
  <c r="L21" i="1" l="1"/>
  <c r="K21" i="1"/>
  <c r="F20" i="1"/>
  <c r="I20" i="1" l="1"/>
  <c r="K20" i="1" s="1"/>
  <c r="L20" i="1" l="1"/>
  <c r="L31" i="1" s="1"/>
  <c r="J20" i="1" l="1"/>
  <c r="J31" i="1" s="1"/>
  <c r="H31" i="1"/>
  <c r="M20" i="1" l="1"/>
  <c r="M31" i="1" s="1"/>
</calcChain>
</file>

<file path=xl/sharedStrings.xml><?xml version="1.0" encoding="utf-8"?>
<sst xmlns="http://schemas.openxmlformats.org/spreadsheetml/2006/main" count="51" uniqueCount="44">
  <si>
    <t>globtour    međugorje</t>
  </si>
  <si>
    <t>d.o.o. za promet i turizam - Touring Company</t>
  </si>
  <si>
    <t>Opis / Description:</t>
  </si>
  <si>
    <t>Županijski sud Mostar: U/I-701/92</t>
  </si>
  <si>
    <t>E-mail: globtour@globtour.com</t>
  </si>
  <si>
    <t>Datum:</t>
  </si>
  <si>
    <t>UKUPNO</t>
  </si>
  <si>
    <t>Valuta /</t>
  </si>
  <si>
    <t>Curency:</t>
  </si>
  <si>
    <t>KM</t>
  </si>
  <si>
    <t>BIH</t>
  </si>
  <si>
    <t>INO</t>
  </si>
  <si>
    <t>PDV</t>
  </si>
  <si>
    <t>UKUPNO:</t>
  </si>
  <si>
    <t>CIJENA</t>
  </si>
  <si>
    <t>po 1 km</t>
  </si>
  <si>
    <t xml:space="preserve">KM </t>
  </si>
  <si>
    <t>OSNOV</t>
  </si>
  <si>
    <t>PDV - BIH</t>
  </si>
  <si>
    <t>NE</t>
  </si>
  <si>
    <t>OPOREZ.</t>
  </si>
  <si>
    <t>Žiro račun:</t>
  </si>
  <si>
    <t>154 922 2000 717 581 - Intesa SanPaolo banka d.d. Sarajevo</t>
  </si>
  <si>
    <t>Devizni račun / Bank account:</t>
  </si>
  <si>
    <r>
      <rPr>
        <sz val="11"/>
        <rFont val="Arial"/>
        <family val="2"/>
        <charset val="238"/>
      </rPr>
      <t>SWIFT</t>
    </r>
    <r>
      <rPr>
        <b/>
        <sz val="11"/>
        <rFont val="Arial"/>
        <family val="2"/>
        <charset val="238"/>
      </rPr>
      <t>: UPBKBA22</t>
    </r>
  </si>
  <si>
    <r>
      <t xml:space="preserve">IBAN: </t>
    </r>
    <r>
      <rPr>
        <b/>
        <sz val="11"/>
        <rFont val="Arial"/>
        <family val="2"/>
        <charset val="238"/>
      </rPr>
      <t>BA39 154922 2000 717581</t>
    </r>
  </si>
  <si>
    <t>OBRAČUN</t>
  </si>
  <si>
    <t>Prijevoz ekipe:   / Relacija:</t>
  </si>
  <si>
    <t>HR</t>
  </si>
  <si>
    <t>PDV-HR</t>
  </si>
  <si>
    <t>BIH - 88 260 Čitluk; www. globtour.com</t>
  </si>
  <si>
    <t>Tel / fax:  +387 36 / 653 253, 653 251</t>
  </si>
  <si>
    <t>P.B. 17070363</t>
  </si>
  <si>
    <t>JIB : 4227010020009; PDV: 227010020009</t>
  </si>
  <si>
    <t>BAM</t>
  </si>
  <si>
    <t>Obračunao: Vinko Gagro</t>
  </si>
  <si>
    <t>Br: 040/2026</t>
  </si>
  <si>
    <t>Datum/Date: 28.7.2026</t>
  </si>
  <si>
    <t>Udruženje Srce za djecu oboljelu od raka</t>
  </si>
  <si>
    <t>Betanija bb</t>
  </si>
  <si>
    <t>71 000 Sarajevo</t>
  </si>
  <si>
    <t>ID : 4200822670001</t>
  </si>
  <si>
    <t>Sarajevo - Travnik</t>
  </si>
  <si>
    <t>Travnik - Sarajevo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</si>
</sst>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21">
    <font>
      <sz val="10"/>
      <name val="Arial"/>
    </font>
    <font>
      <sz val="12"/>
      <name val="7_Arial"/>
      <family val="2"/>
    </font>
    <font>
      <b/>
      <sz val="11"/>
      <name val="Arial"/>
      <family val="2"/>
      <charset val="238"/>
    </font>
    <font>
      <sz val="11"/>
      <name val="Arial"/>
      <family val="2"/>
    </font>
    <font>
      <b/>
      <sz val="16"/>
      <name val="Arial"/>
      <family val="2"/>
      <charset val="238"/>
    </font>
    <font>
      <sz val="10"/>
      <name val="7_Arial"/>
      <family val="2"/>
    </font>
    <font>
      <sz val="16"/>
      <name val="Arial"/>
      <family val="2"/>
      <charset val="238"/>
    </font>
    <font>
      <sz val="16"/>
      <name val="Arial"/>
      <family val="2"/>
      <charset val="238"/>
    </font>
    <font>
      <sz val="16"/>
      <name val="7_Arial"/>
      <family val="2"/>
    </font>
    <font>
      <sz val="11"/>
      <name val="Arial"/>
      <family val="2"/>
      <charset val="238"/>
    </font>
    <font>
      <b/>
      <sz val="11"/>
      <name val="7_Arial"/>
      <charset val="238"/>
    </font>
    <font>
      <sz val="11"/>
      <name val="7_Arial"/>
      <family val="2"/>
    </font>
    <font>
      <sz val="11"/>
      <name val="Arial"/>
      <family val="2"/>
      <charset val="238"/>
    </font>
    <font>
      <b/>
      <sz val="11"/>
      <name val="7_Arial"/>
      <family val="2"/>
    </font>
    <font>
      <b/>
      <sz val="10"/>
      <name val="Arial"/>
      <family val="2"/>
      <charset val="238"/>
    </font>
    <font>
      <b/>
      <sz val="10"/>
      <name val="Arial CE"/>
      <family val="2"/>
      <charset val="238"/>
    </font>
    <font>
      <sz val="10"/>
      <name val="Arial"/>
      <family val="2"/>
      <charset val="238"/>
    </font>
    <font>
      <sz val="10"/>
      <color indexed="10"/>
      <name val="7_Arial"/>
      <family val="2"/>
    </font>
    <font>
      <sz val="10"/>
      <color indexed="10"/>
      <name val="Arial"/>
      <family val="2"/>
      <charset val="238"/>
    </font>
    <font>
      <b/>
      <sz val="12"/>
      <name val="Arial"/>
      <family val="2"/>
      <charset val="238"/>
    </font>
    <font>
      <b/>
      <sz val="10"/>
      <name val="7_Arial"/>
      <charset val="23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9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4" fillId="0" borderId="6" xfId="0" applyFont="1" applyBorder="1" applyAlignment="1">
      <alignment horizontal="center"/>
    </xf>
    <xf numFmtId="0" fontId="16" fillId="0" borderId="0" xfId="0" applyFont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5" fillId="0" borderId="1" xfId="0" applyFont="1" applyBorder="1"/>
    <xf numFmtId="0" fontId="15" fillId="0" borderId="0" xfId="0" applyFont="1" applyAlignment="1">
      <alignment horizontal="right"/>
    </xf>
    <xf numFmtId="0" fontId="15" fillId="0" borderId="11" xfId="0" applyFont="1" applyBorder="1" applyAlignment="1">
      <alignment horizontal="right"/>
    </xf>
    <xf numFmtId="4" fontId="15" fillId="0" borderId="5" xfId="0" applyNumberFormat="1" applyFont="1" applyBorder="1" applyAlignment="1">
      <alignment horizontal="right"/>
    </xf>
    <xf numFmtId="0" fontId="15" fillId="0" borderId="3" xfId="0" applyFont="1" applyBorder="1"/>
    <xf numFmtId="4" fontId="15" fillId="0" borderId="3" xfId="0" applyNumberFormat="1" applyFont="1" applyBorder="1"/>
    <xf numFmtId="0" fontId="15" fillId="0" borderId="0" xfId="0" applyFont="1"/>
    <xf numFmtId="4" fontId="15" fillId="0" borderId="0" xfId="0" applyNumberFormat="1" applyFont="1"/>
    <xf numFmtId="0" fontId="15" fillId="0" borderId="0" xfId="0" applyFont="1" applyAlignment="1">
      <alignment horizontal="center"/>
    </xf>
    <xf numFmtId="0" fontId="14" fillId="0" borderId="12" xfId="0" applyFont="1" applyBorder="1"/>
    <xf numFmtId="0" fontId="14" fillId="0" borderId="13" xfId="0" applyFont="1" applyBorder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4" fontId="15" fillId="0" borderId="10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center"/>
    </xf>
    <xf numFmtId="4" fontId="14" fillId="0" borderId="10" xfId="0" applyNumberFormat="1" applyFont="1" applyBorder="1" applyAlignment="1">
      <alignment horizontal="right"/>
    </xf>
    <xf numFmtId="165" fontId="14" fillId="0" borderId="10" xfId="0" applyNumberFormat="1" applyFont="1" applyBorder="1" applyAlignment="1">
      <alignment horizontal="right"/>
    </xf>
    <xf numFmtId="0" fontId="14" fillId="0" borderId="10" xfId="0" applyFont="1" applyBorder="1" applyAlignment="1">
      <alignment horizontal="left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14" fillId="0" borderId="0" xfId="0" applyFont="1" applyAlignment="1">
      <alignment wrapText="1"/>
    </xf>
    <xf numFmtId="14" fontId="14" fillId="0" borderId="10" xfId="0" applyNumberFormat="1" applyFont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/>
    <xf numFmtId="0" fontId="9" fillId="0" borderId="0" xfId="0" applyFont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4" fontId="14" fillId="0" borderId="9" xfId="0" applyNumberFormat="1" applyFont="1" applyBorder="1" applyAlignment="1">
      <alignment horizontal="right"/>
    </xf>
    <xf numFmtId="0" fontId="14" fillId="0" borderId="7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4" fontId="20" fillId="0" borderId="10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14" fontId="2" fillId="0" borderId="0" xfId="0" applyNumberFormat="1" applyFont="1"/>
    <xf numFmtId="0" fontId="2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no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0</xdr:rowOff>
    </xdr:from>
    <xdr:to>
      <xdr:col>0</xdr:col>
      <xdr:colOff>1057275</xdr:colOff>
      <xdr:row>2</xdr:row>
      <xdr:rowOff>19050</xdr:rowOff>
    </xdr:to>
    <xdr:pic>
      <xdr:nvPicPr>
        <xdr:cNvPr id="1069" name="Picture 1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0550" y="0"/>
          <a:ext cx="466725" cy="3619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590550</xdr:colOff>
      <xdr:row>0</xdr:row>
      <xdr:rowOff>0</xdr:rowOff>
    </xdr:from>
    <xdr:to>
      <xdr:col>0</xdr:col>
      <xdr:colOff>1057275</xdr:colOff>
      <xdr:row>2</xdr:row>
      <xdr:rowOff>19050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0550" y="0"/>
          <a:ext cx="466725" cy="3619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workbookViewId="0">
      <selection activeCell="B25" sqref="B25"/>
    </sheetView>
  </sheetViews>
  <sheetFormatPr defaultRowHeight="12.5"/>
  <cols>
    <col min="1" max="1" width="16.26953125" customWidth="1"/>
    <col min="2" max="2" width="31" bestFit="1" customWidth="1"/>
    <col min="3" max="3" width="10.453125" customWidth="1"/>
    <col min="4" max="4" width="7.1796875" customWidth="1"/>
    <col min="5" max="5" width="8.54296875" customWidth="1"/>
    <col min="6" max="6" width="9.7265625" customWidth="1"/>
    <col min="7" max="7" width="8.1796875" customWidth="1"/>
    <col min="8" max="8" width="9.26953125" customWidth="1"/>
    <col min="9" max="9" width="9.81640625" customWidth="1"/>
    <col min="10" max="10" width="12.81640625" customWidth="1"/>
  </cols>
  <sheetData>
    <row r="1" spans="1:18" ht="13.5" customHeight="1">
      <c r="K1" s="1"/>
      <c r="L1" s="1"/>
      <c r="M1" s="1"/>
      <c r="N1" s="1"/>
      <c r="O1" s="1"/>
    </row>
    <row r="2" spans="1:18" ht="13.5" customHeight="1">
      <c r="K2" s="1"/>
      <c r="L2" s="1"/>
      <c r="M2" s="1"/>
      <c r="N2" s="1"/>
      <c r="O2" s="1"/>
    </row>
    <row r="3" spans="1:18" s="7" customFormat="1" ht="20">
      <c r="A3" s="5" t="s">
        <v>0</v>
      </c>
      <c r="B3" s="6"/>
      <c r="D3" s="6"/>
      <c r="E3" s="6"/>
      <c r="F3" s="6"/>
      <c r="G3" s="6"/>
      <c r="H3" s="6"/>
      <c r="I3" s="6"/>
      <c r="J3" s="6"/>
      <c r="K3" s="8"/>
      <c r="L3" s="8"/>
      <c r="M3" s="8"/>
      <c r="N3" s="8"/>
      <c r="O3" s="8"/>
    </row>
    <row r="4" spans="1:18" s="13" customFormat="1" ht="15" customHeight="1">
      <c r="A4" s="9" t="s">
        <v>1</v>
      </c>
      <c r="B4" s="10"/>
      <c r="C4" s="9" t="s">
        <v>21</v>
      </c>
      <c r="D4" s="9"/>
      <c r="E4" s="9"/>
      <c r="F4" s="9"/>
      <c r="G4" s="9"/>
      <c r="H4" s="10"/>
      <c r="I4" s="10"/>
      <c r="J4" s="11"/>
      <c r="K4" s="12"/>
      <c r="L4" s="12"/>
      <c r="M4" s="12"/>
      <c r="N4" s="12"/>
      <c r="O4" s="12"/>
    </row>
    <row r="5" spans="1:18" s="13" customFormat="1" ht="16.5" customHeight="1">
      <c r="A5" s="65" t="s">
        <v>30</v>
      </c>
      <c r="B5" s="65"/>
      <c r="C5" s="9" t="s">
        <v>22</v>
      </c>
      <c r="D5" s="9"/>
      <c r="E5" s="9"/>
      <c r="F5" s="9"/>
      <c r="G5" s="9"/>
      <c r="H5" s="10"/>
      <c r="I5" s="10"/>
      <c r="J5" s="14"/>
      <c r="K5" s="12"/>
      <c r="L5" s="12"/>
      <c r="M5" s="12"/>
      <c r="N5" s="12"/>
      <c r="O5" s="12"/>
    </row>
    <row r="6" spans="1:18" s="13" customFormat="1" ht="15" customHeight="1">
      <c r="A6" s="9" t="s">
        <v>31</v>
      </c>
      <c r="B6" s="10"/>
      <c r="C6" s="9" t="s">
        <v>23</v>
      </c>
      <c r="D6" s="9"/>
      <c r="E6" s="9"/>
      <c r="F6" s="9"/>
      <c r="G6" s="9"/>
      <c r="H6" s="10"/>
      <c r="I6" s="10"/>
      <c r="J6" s="12"/>
      <c r="K6" s="12"/>
      <c r="L6" s="12"/>
      <c r="M6" s="12"/>
      <c r="N6" s="12"/>
      <c r="O6" s="12"/>
    </row>
    <row r="7" spans="1:18" s="13" customFormat="1" ht="15" customHeight="1">
      <c r="A7" s="9" t="s">
        <v>4</v>
      </c>
      <c r="B7" s="10"/>
      <c r="C7" s="9" t="s">
        <v>24</v>
      </c>
      <c r="D7" s="9"/>
      <c r="E7" s="9"/>
      <c r="F7" s="9"/>
      <c r="G7" s="9"/>
      <c r="H7" s="10"/>
      <c r="I7" s="48"/>
      <c r="J7" s="48"/>
      <c r="K7" s="48"/>
      <c r="L7" s="48"/>
      <c r="M7" s="48"/>
      <c r="N7" s="48"/>
      <c r="O7" s="12"/>
    </row>
    <row r="8" spans="1:18" s="13" customFormat="1" ht="15" customHeight="1">
      <c r="A8" s="9" t="s">
        <v>33</v>
      </c>
      <c r="B8" s="9"/>
      <c r="C8" s="10" t="s">
        <v>25</v>
      </c>
      <c r="D8" s="9"/>
      <c r="E8" s="9"/>
      <c r="F8" s="9"/>
      <c r="G8" s="9"/>
      <c r="H8" s="10"/>
      <c r="I8" s="48"/>
      <c r="J8" s="48"/>
      <c r="K8" s="48"/>
      <c r="L8" s="48"/>
      <c r="M8" s="48"/>
      <c r="N8" s="48"/>
      <c r="O8" s="12"/>
    </row>
    <row r="9" spans="1:18" s="13" customFormat="1" ht="15" customHeight="1">
      <c r="A9" s="9" t="s">
        <v>32</v>
      </c>
      <c r="B9" s="9"/>
      <c r="C9" s="10"/>
      <c r="D9" s="9"/>
      <c r="E9" s="9"/>
      <c r="F9" s="9"/>
      <c r="G9" s="9"/>
      <c r="H9" s="10"/>
      <c r="I9" s="48"/>
      <c r="J9" s="48"/>
      <c r="K9" s="48"/>
      <c r="L9" s="48"/>
      <c r="M9" s="48"/>
      <c r="N9" s="48"/>
      <c r="O9" s="12"/>
    </row>
    <row r="10" spans="1:18" s="13" customFormat="1" ht="15" customHeight="1">
      <c r="A10" s="9" t="s">
        <v>3</v>
      </c>
      <c r="B10" s="9"/>
      <c r="C10" s="10"/>
      <c r="D10" s="9"/>
      <c r="E10" s="9"/>
      <c r="F10" s="9"/>
      <c r="G10" s="9"/>
      <c r="H10" s="10"/>
      <c r="I10" s="48"/>
      <c r="J10" s="48"/>
      <c r="K10" s="48"/>
      <c r="L10" s="48"/>
      <c r="M10" s="48"/>
      <c r="N10" s="48"/>
      <c r="O10" s="12"/>
    </row>
    <row r="11" spans="1:18" s="13" customFormat="1" ht="26.5" customHeight="1">
      <c r="A11" s="9"/>
      <c r="B11" s="9"/>
      <c r="C11" s="9"/>
      <c r="D11" s="9"/>
      <c r="E11" s="9"/>
      <c r="F11" s="9"/>
      <c r="G11" s="9"/>
      <c r="H11" s="10"/>
      <c r="I11" s="10"/>
      <c r="J11" s="12"/>
      <c r="K11" s="12"/>
      <c r="L11" s="12"/>
      <c r="M11" s="12"/>
      <c r="N11" s="12"/>
      <c r="O11" s="12"/>
    </row>
    <row r="12" spans="1:18" s="13" customFormat="1" ht="15" customHeight="1">
      <c r="A12" s="68"/>
      <c r="B12" s="69"/>
      <c r="C12" s="15"/>
      <c r="D12" s="16"/>
      <c r="E12" s="16"/>
      <c r="F12" s="16"/>
      <c r="G12" s="17"/>
      <c r="H12" s="17"/>
      <c r="I12" s="16"/>
      <c r="J12" s="16"/>
      <c r="K12" s="16"/>
      <c r="L12" s="16"/>
      <c r="M12" s="50" t="s">
        <v>7</v>
      </c>
      <c r="N12" s="12"/>
      <c r="O12" s="12"/>
      <c r="P12" s="12"/>
      <c r="Q12" s="12"/>
      <c r="R12" s="12"/>
    </row>
    <row r="13" spans="1:18" s="13" customFormat="1" ht="15" customHeight="1">
      <c r="A13" s="60" t="s">
        <v>38</v>
      </c>
      <c r="B13" s="61"/>
      <c r="C13" s="2"/>
      <c r="D13" s="70" t="s">
        <v>26</v>
      </c>
      <c r="E13" s="70"/>
      <c r="F13" s="18"/>
      <c r="G13" s="47"/>
      <c r="H13" s="47"/>
      <c r="I13" s="18"/>
      <c r="J13" s="18"/>
      <c r="K13" s="18"/>
      <c r="L13" s="18"/>
      <c r="M13" s="51" t="s">
        <v>8</v>
      </c>
      <c r="N13" s="12"/>
      <c r="O13" s="12"/>
      <c r="P13" s="12"/>
      <c r="Q13" s="12"/>
      <c r="R13" s="12"/>
    </row>
    <row r="14" spans="1:18" s="13" customFormat="1" ht="15" customHeight="1">
      <c r="A14" s="60" t="s">
        <v>39</v>
      </c>
      <c r="B14" s="61"/>
      <c r="C14" s="2"/>
      <c r="D14" s="4"/>
      <c r="E14" s="4"/>
      <c r="F14" s="4"/>
      <c r="G14" s="20"/>
      <c r="H14" s="20"/>
      <c r="I14" s="53"/>
      <c r="J14" s="53"/>
      <c r="K14" s="53"/>
      <c r="L14" s="53"/>
      <c r="M14" s="51" t="s">
        <v>34</v>
      </c>
      <c r="N14" s="12"/>
      <c r="O14" s="12"/>
      <c r="P14" s="12"/>
      <c r="Q14" s="12"/>
      <c r="R14" s="12"/>
    </row>
    <row r="15" spans="1:18" s="13" customFormat="1" ht="15" customHeight="1">
      <c r="A15" s="60" t="s">
        <v>40</v>
      </c>
      <c r="B15" s="61"/>
      <c r="C15" s="2"/>
      <c r="D15" s="4"/>
      <c r="E15" s="4"/>
      <c r="F15" s="4"/>
      <c r="G15" s="20"/>
      <c r="H15" s="20"/>
      <c r="I15" s="53"/>
      <c r="J15" s="53"/>
      <c r="K15" s="53"/>
      <c r="L15" s="53"/>
      <c r="M15" s="51"/>
      <c r="N15" s="12"/>
      <c r="O15" s="12"/>
      <c r="P15" s="12"/>
      <c r="Q15" s="12"/>
      <c r="R15" s="12"/>
    </row>
    <row r="16" spans="1:18" s="13" customFormat="1" ht="15" customHeight="1">
      <c r="A16" s="60" t="s">
        <v>41</v>
      </c>
      <c r="B16" s="61"/>
      <c r="C16" s="2"/>
      <c r="D16" s="64" t="s">
        <v>37</v>
      </c>
      <c r="E16" s="64"/>
      <c r="F16" s="4"/>
      <c r="G16" s="47"/>
      <c r="H16" s="47"/>
      <c r="I16" s="53"/>
      <c r="J16" s="71" t="s">
        <v>36</v>
      </c>
      <c r="K16" s="71"/>
      <c r="L16" s="53"/>
      <c r="M16" s="51"/>
      <c r="N16" s="12"/>
      <c r="O16" s="12"/>
      <c r="P16" s="12"/>
      <c r="Q16" s="12"/>
      <c r="R16" s="12"/>
    </row>
    <row r="17" spans="1:18" s="13" customFormat="1" ht="15" customHeight="1" thickBot="1">
      <c r="A17" s="62"/>
      <c r="B17" s="63"/>
      <c r="C17" s="2"/>
      <c r="D17" s="46"/>
      <c r="E17" s="4"/>
      <c r="F17" s="4"/>
      <c r="G17" s="19"/>
      <c r="H17" s="19"/>
      <c r="I17" s="18"/>
      <c r="J17" s="18"/>
      <c r="K17" s="18"/>
      <c r="L17" s="18"/>
      <c r="M17" s="52"/>
      <c r="N17" s="12"/>
      <c r="O17" s="12"/>
      <c r="P17" s="12"/>
      <c r="Q17" s="12"/>
      <c r="R17" s="12"/>
    </row>
    <row r="18" spans="1:18" s="22" customFormat="1" ht="15" customHeight="1" thickTop="1">
      <c r="A18" s="36"/>
      <c r="B18" s="37" t="s">
        <v>2</v>
      </c>
      <c r="C18" s="21" t="s">
        <v>9</v>
      </c>
      <c r="D18" s="21" t="s">
        <v>9</v>
      </c>
      <c r="E18" s="21" t="s">
        <v>9</v>
      </c>
      <c r="F18" s="21" t="s">
        <v>16</v>
      </c>
      <c r="G18" s="58" t="s">
        <v>14</v>
      </c>
      <c r="H18" s="54" t="s">
        <v>17</v>
      </c>
      <c r="I18" s="54" t="s">
        <v>17</v>
      </c>
      <c r="J18" s="54" t="s">
        <v>12</v>
      </c>
      <c r="K18" s="54" t="s">
        <v>12</v>
      </c>
      <c r="L18" s="55" t="s">
        <v>19</v>
      </c>
      <c r="M18" s="55" t="s">
        <v>6</v>
      </c>
      <c r="N18" s="3"/>
      <c r="O18" s="3"/>
      <c r="P18" s="3"/>
      <c r="Q18" s="3"/>
      <c r="R18" s="3"/>
    </row>
    <row r="19" spans="1:18" s="22" customFormat="1" ht="15" customHeight="1">
      <c r="A19" s="23" t="s">
        <v>5</v>
      </c>
      <c r="B19" s="24" t="s">
        <v>27</v>
      </c>
      <c r="C19" s="25" t="s">
        <v>6</v>
      </c>
      <c r="D19" s="25" t="s">
        <v>10</v>
      </c>
      <c r="E19" s="25" t="s">
        <v>28</v>
      </c>
      <c r="F19" s="25" t="s">
        <v>11</v>
      </c>
      <c r="G19" s="57" t="s">
        <v>15</v>
      </c>
      <c r="H19" s="54" t="s">
        <v>18</v>
      </c>
      <c r="I19" s="54" t="s">
        <v>29</v>
      </c>
      <c r="J19" s="54" t="s">
        <v>10</v>
      </c>
      <c r="K19" s="54" t="s">
        <v>28</v>
      </c>
      <c r="L19" s="55" t="s">
        <v>20</v>
      </c>
      <c r="M19" s="55"/>
      <c r="N19" s="3"/>
      <c r="O19" s="3"/>
      <c r="P19" s="3"/>
      <c r="Q19" s="3"/>
      <c r="R19" s="3"/>
    </row>
    <row r="20" spans="1:18" s="40" customFormat="1" ht="15" customHeight="1">
      <c r="A20" s="49">
        <v>46223</v>
      </c>
      <c r="B20" s="45" t="s">
        <v>42</v>
      </c>
      <c r="C20" s="42">
        <v>115</v>
      </c>
      <c r="D20" s="43">
        <v>115</v>
      </c>
      <c r="E20" s="43">
        <v>0</v>
      </c>
      <c r="F20" s="43">
        <f>C20-D20-E20</f>
        <v>0</v>
      </c>
      <c r="G20" s="44">
        <v>5.65</v>
      </c>
      <c r="H20" s="56">
        <f>D20*G20</f>
        <v>649.75</v>
      </c>
      <c r="I20" s="56">
        <f>E20*G20</f>
        <v>0</v>
      </c>
      <c r="J20" s="56">
        <f>H20*17%</f>
        <v>110.45750000000001</v>
      </c>
      <c r="K20" s="56">
        <f>I20*25%</f>
        <v>0</v>
      </c>
      <c r="L20" s="56">
        <f>F20*G20+I20+K20</f>
        <v>0</v>
      </c>
      <c r="M20" s="41">
        <f>L20+J20+H20</f>
        <v>760.20749999999998</v>
      </c>
      <c r="N20" s="38"/>
      <c r="O20" s="38"/>
      <c r="P20" s="38"/>
      <c r="Q20" s="39"/>
      <c r="R20" s="39"/>
    </row>
    <row r="21" spans="1:18" s="40" customFormat="1" ht="15" customHeight="1">
      <c r="A21" s="49">
        <v>46227</v>
      </c>
      <c r="B21" s="45" t="s">
        <v>43</v>
      </c>
      <c r="C21" s="42">
        <v>115</v>
      </c>
      <c r="D21" s="43">
        <v>115</v>
      </c>
      <c r="E21" s="43">
        <v>0</v>
      </c>
      <c r="F21" s="43">
        <f>C21-D21-E21</f>
        <v>0</v>
      </c>
      <c r="G21" s="44">
        <v>5.65</v>
      </c>
      <c r="H21" s="56">
        <f>D21*G21</f>
        <v>649.75</v>
      </c>
      <c r="I21" s="56">
        <f>E21*G21</f>
        <v>0</v>
      </c>
      <c r="J21" s="56">
        <f>H21*17%</f>
        <v>110.45750000000001</v>
      </c>
      <c r="K21" s="56">
        <f>I21*25%</f>
        <v>0</v>
      </c>
      <c r="L21" s="56">
        <f>F21*G21+I21+K21</f>
        <v>0</v>
      </c>
      <c r="M21" s="41">
        <f>L21+J21+H21</f>
        <v>760.20749999999998</v>
      </c>
      <c r="N21" s="38"/>
      <c r="O21" s="38"/>
      <c r="P21" s="38"/>
      <c r="Q21" s="39"/>
      <c r="R21" s="39"/>
    </row>
    <row r="22" spans="1:18" s="22" customFormat="1" ht="15" customHeight="1">
      <c r="A22" s="49"/>
      <c r="B22" s="45"/>
      <c r="C22" s="42"/>
      <c r="D22" s="43"/>
      <c r="E22" s="43"/>
      <c r="F22" s="43"/>
      <c r="G22" s="44"/>
      <c r="H22" s="43"/>
      <c r="I22" s="43"/>
      <c r="J22" s="43"/>
      <c r="K22" s="43"/>
      <c r="L22" s="43"/>
      <c r="M22" s="43"/>
      <c r="N22" s="26"/>
      <c r="O22" s="26"/>
      <c r="P22" s="26"/>
      <c r="Q22" s="3"/>
      <c r="R22" s="3"/>
    </row>
    <row r="23" spans="1:18" s="22" customFormat="1" ht="15" customHeight="1">
      <c r="A23" s="49"/>
      <c r="B23" s="45"/>
      <c r="C23" s="42"/>
      <c r="D23" s="43"/>
      <c r="E23" s="43"/>
      <c r="F23" s="43"/>
      <c r="G23" s="44"/>
      <c r="H23" s="43"/>
      <c r="I23" s="43"/>
      <c r="J23" s="43"/>
      <c r="K23" s="43"/>
      <c r="L23" s="43"/>
      <c r="M23" s="44"/>
      <c r="N23" s="3"/>
      <c r="O23" s="3"/>
      <c r="P23" s="3"/>
      <c r="Q23" s="3"/>
      <c r="R23" s="3"/>
    </row>
    <row r="24" spans="1:18" s="22" customFormat="1" ht="15" customHeight="1">
      <c r="A24" s="49"/>
      <c r="B24" s="45"/>
      <c r="C24" s="42"/>
      <c r="D24" s="43"/>
      <c r="E24" s="43"/>
      <c r="F24" s="43"/>
      <c r="G24" s="44"/>
      <c r="H24" s="43"/>
      <c r="I24" s="43"/>
      <c r="J24" s="43"/>
      <c r="K24" s="43"/>
      <c r="L24" s="43"/>
      <c r="M24" s="44"/>
      <c r="N24" s="3"/>
      <c r="O24" s="3"/>
      <c r="P24" s="3"/>
      <c r="Q24" s="3"/>
      <c r="R24" s="3"/>
    </row>
    <row r="25" spans="1:18" s="22" customFormat="1" ht="15" customHeight="1">
      <c r="A25" s="49"/>
      <c r="B25" s="45"/>
      <c r="C25" s="42"/>
      <c r="D25" s="43"/>
      <c r="E25" s="43"/>
      <c r="F25" s="43"/>
      <c r="G25" s="44"/>
      <c r="H25" s="43"/>
      <c r="I25" s="43"/>
      <c r="J25" s="43"/>
      <c r="K25" s="43"/>
      <c r="L25" s="43"/>
      <c r="M25" s="44"/>
      <c r="N25" s="3"/>
      <c r="O25" s="3"/>
      <c r="P25" s="3"/>
      <c r="Q25" s="3"/>
      <c r="R25" s="3"/>
    </row>
    <row r="26" spans="1:18" s="22" customFormat="1" ht="15" customHeight="1">
      <c r="A26" s="49"/>
      <c r="B26" s="45"/>
      <c r="C26" s="42"/>
      <c r="D26" s="43"/>
      <c r="E26" s="43"/>
      <c r="F26" s="43"/>
      <c r="G26" s="44"/>
      <c r="H26" s="43"/>
      <c r="I26" s="43"/>
      <c r="J26" s="43"/>
      <c r="K26" s="43"/>
      <c r="L26" s="43"/>
      <c r="M26" s="41"/>
      <c r="N26" s="3"/>
      <c r="O26" s="3"/>
      <c r="P26" s="3"/>
      <c r="Q26" s="3"/>
      <c r="R26" s="3"/>
    </row>
    <row r="27" spans="1:18" s="22" customFormat="1" ht="15" customHeight="1">
      <c r="A27" s="49"/>
      <c r="B27" s="45"/>
      <c r="C27" s="42"/>
      <c r="D27" s="43"/>
      <c r="E27" s="43"/>
      <c r="F27" s="43"/>
      <c r="G27" s="44"/>
      <c r="H27" s="43"/>
      <c r="I27" s="43"/>
      <c r="J27" s="43"/>
      <c r="K27" s="43"/>
      <c r="L27" s="43"/>
      <c r="M27" s="41"/>
      <c r="N27" s="3"/>
      <c r="O27" s="3"/>
      <c r="P27" s="3"/>
      <c r="Q27" s="3"/>
      <c r="R27" s="3"/>
    </row>
    <row r="28" spans="1:18" s="22" customFormat="1" ht="13">
      <c r="A28" s="49"/>
      <c r="B28" s="45"/>
      <c r="C28" s="42"/>
      <c r="D28" s="43"/>
      <c r="E28" s="43"/>
      <c r="F28" s="43"/>
      <c r="G28" s="44"/>
      <c r="H28" s="43"/>
      <c r="I28" s="43"/>
      <c r="J28" s="43"/>
      <c r="K28" s="43"/>
      <c r="L28" s="43"/>
      <c r="M28" s="41"/>
      <c r="N28" s="3"/>
      <c r="O28" s="3"/>
      <c r="P28" s="3"/>
      <c r="Q28" s="3"/>
      <c r="R28" s="3"/>
    </row>
    <row r="29" spans="1:18" s="22" customFormat="1" ht="13">
      <c r="A29" s="49"/>
      <c r="B29" s="45"/>
      <c r="C29" s="42"/>
      <c r="D29" s="43"/>
      <c r="E29" s="43"/>
      <c r="F29" s="43"/>
      <c r="G29" s="44"/>
      <c r="H29" s="43"/>
      <c r="I29" s="43"/>
      <c r="J29" s="43"/>
      <c r="K29" s="43"/>
      <c r="L29" s="43"/>
      <c r="M29" s="41"/>
      <c r="N29" s="3"/>
      <c r="O29" s="3"/>
      <c r="P29" s="3"/>
      <c r="Q29" s="3"/>
      <c r="R29" s="3"/>
    </row>
    <row r="30" spans="1:18" s="22" customFormat="1" ht="13">
      <c r="A30" s="45"/>
      <c r="B30" s="45"/>
      <c r="C30" s="42"/>
      <c r="D30" s="43"/>
      <c r="E30" s="43"/>
      <c r="F30" s="43"/>
      <c r="G30" s="44"/>
      <c r="H30" s="43"/>
      <c r="I30" s="43"/>
      <c r="J30" s="43"/>
      <c r="K30" s="43"/>
      <c r="L30" s="43"/>
      <c r="M30" s="41"/>
      <c r="N30" s="3"/>
      <c r="O30" s="3"/>
      <c r="P30" s="3"/>
      <c r="Q30" s="3"/>
      <c r="R30" s="3"/>
    </row>
    <row r="31" spans="1:18" s="22" customFormat="1" ht="13">
      <c r="A31" s="27"/>
      <c r="B31" s="28" t="s">
        <v>13</v>
      </c>
      <c r="C31" s="29"/>
      <c r="D31" s="30"/>
      <c r="E31" s="30"/>
      <c r="F31" s="30"/>
      <c r="G31" s="30"/>
      <c r="H31" s="30">
        <f>SUM(H20:H30)</f>
        <v>1299.5</v>
      </c>
      <c r="I31" s="41"/>
      <c r="J31" s="41">
        <f>SUM(J20:J30)</f>
        <v>220.91500000000002</v>
      </c>
      <c r="K31" s="41"/>
      <c r="L31" s="41">
        <f>SUM(L20:L30)</f>
        <v>0</v>
      </c>
      <c r="M31" s="59">
        <f>SUM(M20:M30)</f>
        <v>1520.415</v>
      </c>
      <c r="N31" s="3"/>
      <c r="O31" s="3"/>
      <c r="P31" s="3"/>
      <c r="Q31" s="3"/>
    </row>
    <row r="32" spans="1:18" ht="15.5">
      <c r="A32" s="31" t="s">
        <v>35</v>
      </c>
      <c r="B32" s="31"/>
      <c r="C32" s="31"/>
      <c r="D32" s="32"/>
      <c r="E32" s="32"/>
      <c r="F32" s="32"/>
      <c r="G32" s="32"/>
      <c r="H32" s="32"/>
      <c r="I32" s="34"/>
      <c r="J32" s="35"/>
      <c r="K32" s="1"/>
      <c r="L32" s="1"/>
      <c r="M32" s="1"/>
      <c r="N32" s="1"/>
      <c r="O32" s="1"/>
    </row>
    <row r="33" spans="1:15" ht="15.5">
      <c r="A33" s="22"/>
      <c r="B33" s="22"/>
      <c r="C33" s="33"/>
      <c r="D33" s="33"/>
      <c r="E33" s="33"/>
      <c r="F33" s="33"/>
      <c r="G33" s="33"/>
      <c r="H33" s="33"/>
      <c r="I33" s="33"/>
      <c r="J33" s="33"/>
      <c r="K33" s="1"/>
      <c r="L33" s="1"/>
      <c r="M33" s="1"/>
      <c r="N33" s="1"/>
      <c r="O33" s="1"/>
    </row>
    <row r="34" spans="1:15" ht="15.5">
      <c r="A34" s="22"/>
      <c r="B34" s="22"/>
      <c r="C34" s="22"/>
      <c r="D34" s="22"/>
      <c r="E34" s="22"/>
      <c r="F34" s="34"/>
      <c r="G34" s="34"/>
      <c r="H34" s="34"/>
      <c r="I34" s="34"/>
      <c r="J34" s="35"/>
      <c r="K34" s="1"/>
      <c r="L34" s="1"/>
      <c r="M34" s="1"/>
      <c r="N34" s="1"/>
      <c r="O34" s="1"/>
    </row>
    <row r="35" spans="1:15" ht="15.5">
      <c r="A35" s="22"/>
      <c r="B35" s="22"/>
      <c r="C35" s="22"/>
      <c r="D35" s="22"/>
      <c r="E35" s="22"/>
      <c r="F35" s="34"/>
      <c r="G35" s="34"/>
      <c r="H35" s="34"/>
      <c r="I35" s="34"/>
      <c r="J35" s="35"/>
      <c r="K35" s="1"/>
      <c r="L35" s="1"/>
      <c r="M35" s="1"/>
      <c r="N35" s="1"/>
      <c r="O35" s="1"/>
    </row>
    <row r="36" spans="1:15" ht="15.5">
      <c r="A36" s="22"/>
      <c r="B36" s="22"/>
      <c r="C36" s="22"/>
      <c r="D36" s="22"/>
      <c r="E36" s="22"/>
      <c r="F36" s="3"/>
      <c r="G36" s="3"/>
      <c r="H36" s="3"/>
      <c r="I36" s="3"/>
      <c r="J36" s="3"/>
      <c r="K36" s="1"/>
      <c r="L36" s="1"/>
      <c r="M36" s="1"/>
      <c r="N36" s="1"/>
      <c r="O36" s="1"/>
    </row>
    <row r="37" spans="1:15" ht="15.5">
      <c r="A37" s="22"/>
      <c r="B37" s="22"/>
      <c r="C37" s="22"/>
      <c r="D37" s="22"/>
      <c r="E37" s="22"/>
      <c r="F37" s="3"/>
      <c r="G37" s="3"/>
      <c r="H37" s="3"/>
      <c r="I37" s="3"/>
      <c r="J37" s="3"/>
      <c r="K37" s="1"/>
      <c r="L37" s="1"/>
      <c r="M37" s="1"/>
      <c r="N37" s="1"/>
      <c r="O37" s="1"/>
    </row>
    <row r="38" spans="1:15" ht="15.5">
      <c r="A38" s="66"/>
      <c r="B38" s="67"/>
      <c r="C38" s="67"/>
      <c r="D38" s="67"/>
      <c r="E38" s="67"/>
      <c r="F38" s="67"/>
      <c r="G38" s="67"/>
      <c r="H38" s="67"/>
      <c r="I38" s="67"/>
      <c r="J38" s="67"/>
      <c r="K38" s="1"/>
      <c r="L38" s="1"/>
      <c r="M38" s="1"/>
      <c r="N38" s="1"/>
      <c r="O38" s="1"/>
    </row>
    <row r="39" spans="1:15" ht="15" customHeight="1">
      <c r="A39" s="22"/>
      <c r="B39" s="22"/>
      <c r="C39" s="22"/>
      <c r="D39" s="22"/>
      <c r="E39" s="22"/>
      <c r="F39" s="3"/>
      <c r="G39" s="3"/>
      <c r="H39" s="3"/>
      <c r="I39" s="3"/>
      <c r="J39" s="3"/>
      <c r="K39" s="1"/>
      <c r="L39" s="1"/>
      <c r="M39" s="1"/>
      <c r="N39" s="1"/>
      <c r="O39" s="1"/>
    </row>
    <row r="40" spans="1:15" ht="15.5"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.5"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60.75" hidden="1" customHeight="1"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9.5" customHeight="1"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7.25" customHeight="1"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6.5" customHeight="1">
      <c r="A46" s="22"/>
      <c r="B46" s="22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5">
      <c r="A47" s="22"/>
      <c r="B47" s="22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5">
      <c r="A48" s="22"/>
      <c r="B48" s="22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5">
      <c r="A49" s="22"/>
      <c r="B49" s="22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5">
      <c r="A50" s="22"/>
      <c r="B50" s="2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5">
      <c r="A51" s="22"/>
      <c r="B51" s="2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5">
      <c r="A68" s="1"/>
      <c r="B68" s="1"/>
      <c r="K68" s="1"/>
      <c r="L68" s="1"/>
      <c r="M68" s="1"/>
      <c r="N68" s="1"/>
      <c r="O68" s="1"/>
    </row>
    <row r="69" spans="1:15" ht="15.5">
      <c r="A69" s="1"/>
      <c r="B69" s="1"/>
      <c r="K69" s="1"/>
      <c r="L69" s="1"/>
      <c r="M69" s="1"/>
      <c r="N69" s="1"/>
      <c r="O69" s="1"/>
    </row>
    <row r="70" spans="1:15" ht="15.5">
      <c r="A70" s="1"/>
      <c r="B70" s="1"/>
      <c r="K70" s="1"/>
      <c r="L70" s="1"/>
      <c r="M70" s="1"/>
      <c r="N70" s="1"/>
      <c r="O70" s="1"/>
    </row>
    <row r="71" spans="1:15" ht="15.5">
      <c r="A71" s="1"/>
      <c r="B71" s="1"/>
      <c r="K71" s="1"/>
      <c r="L71" s="1"/>
      <c r="M71" s="1"/>
      <c r="N71" s="1"/>
      <c r="O71" s="1"/>
    </row>
    <row r="72" spans="1:15" ht="15.5">
      <c r="A72" s="1"/>
      <c r="B72" s="1"/>
      <c r="K72" s="1"/>
      <c r="L72" s="1"/>
      <c r="M72" s="1"/>
      <c r="N72" s="1"/>
      <c r="O72" s="1"/>
    </row>
    <row r="73" spans="1:15" ht="15.5">
      <c r="A73" s="1"/>
      <c r="B73" s="1"/>
      <c r="K73" s="1"/>
      <c r="L73" s="1"/>
      <c r="M73" s="1"/>
      <c r="N73" s="1"/>
      <c r="O73" s="1"/>
    </row>
    <row r="74" spans="1:15" ht="15.5">
      <c r="A74" s="1"/>
      <c r="B74" s="1"/>
      <c r="K74" s="1"/>
      <c r="L74" s="1"/>
      <c r="M74" s="1"/>
      <c r="N74" s="1"/>
      <c r="O74" s="1"/>
    </row>
    <row r="75" spans="1:15" ht="15.5">
      <c r="A75" s="1"/>
      <c r="B75" s="1"/>
      <c r="K75" s="1"/>
      <c r="L75" s="1"/>
      <c r="M75" s="1"/>
      <c r="N75" s="1"/>
      <c r="O75" s="1"/>
    </row>
    <row r="76" spans="1:15" ht="15.5">
      <c r="A76" s="1"/>
      <c r="B76" s="1"/>
      <c r="K76" s="1"/>
      <c r="L76" s="1"/>
      <c r="M76" s="1"/>
      <c r="N76" s="1"/>
      <c r="O76" s="1"/>
    </row>
    <row r="77" spans="1:15" ht="15.5">
      <c r="A77" s="1"/>
      <c r="B77" s="1"/>
      <c r="K77" s="1"/>
      <c r="L77" s="1"/>
      <c r="M77" s="1"/>
      <c r="N77" s="1"/>
      <c r="O77" s="1"/>
    </row>
    <row r="78" spans="1:15" ht="15.5">
      <c r="A78" s="1"/>
      <c r="B78" s="1"/>
      <c r="K78" s="1"/>
      <c r="L78" s="1"/>
      <c r="M78" s="1"/>
      <c r="N78" s="1"/>
      <c r="O78" s="1"/>
    </row>
    <row r="79" spans="1:15" ht="15.5">
      <c r="A79" s="1"/>
      <c r="B79" s="1"/>
      <c r="K79" s="1"/>
      <c r="L79" s="1"/>
      <c r="M79" s="1"/>
      <c r="N79" s="1"/>
      <c r="O79" s="1"/>
    </row>
    <row r="80" spans="1:15" ht="15.5">
      <c r="A80" s="1"/>
      <c r="B80" s="1"/>
      <c r="K80" s="1"/>
      <c r="L80" s="1"/>
      <c r="M80" s="1"/>
      <c r="N80" s="1"/>
      <c r="O80" s="1"/>
    </row>
    <row r="81" spans="1:2" ht="15.5">
      <c r="A81" s="1"/>
      <c r="B81" s="1"/>
    </row>
  </sheetData>
  <mergeCells count="5">
    <mergeCell ref="A5:B5"/>
    <mergeCell ref="A38:J38"/>
    <mergeCell ref="A12:B12"/>
    <mergeCell ref="D13:E13"/>
    <mergeCell ref="J16:K16"/>
  </mergeCells>
  <phoneticPr fontId="0" type="noConversion"/>
  <printOptions horizontalCentered="1"/>
  <pageMargins left="0" right="0" top="0" bottom="0" header="0.51181102362204722" footer="0.51181102362204722"/>
  <pageSetup paperSize="9" orientation="landscape" horizontalDpi="4294967292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GLOBTOUR</dc:title>
  <dc:creator>Ivica</dc:creator>
  <cp:lastModifiedBy>Vinko Gagro</cp:lastModifiedBy>
  <cp:lastPrinted>2024-04-18T12:48:13Z</cp:lastPrinted>
  <dcterms:created xsi:type="dcterms:W3CDTF">1997-10-13T20:19:05Z</dcterms:created>
  <dcterms:modified xsi:type="dcterms:W3CDTF">2026-07-28T10:02:21Z</dcterms:modified>
</cp:coreProperties>
</file>